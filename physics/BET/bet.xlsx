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hi/report/physics/BET/"/>
    </mc:Choice>
  </mc:AlternateContent>
  <xr:revisionPtr revIDLastSave="0" documentId="8_{C34BE6B5-04E3-A54B-B11E-72C3FFD5B7DF}" xr6:coauthVersionLast="47" xr6:coauthVersionMax="47" xr10:uidLastSave="{00000000-0000-0000-0000-000000000000}"/>
  <bookViews>
    <workbookView xWindow="13280" yWindow="1780" windowWidth="25120" windowHeight="19820" activeTab="1" xr2:uid="{1BE539D5-D99C-C54A-8AA7-BEADBC42552A}"/>
  </bookViews>
  <sheets>
    <sheet name="active" sheetId="1" r:id="rId1"/>
    <sheet name="Sheet3" sheetId="3" r:id="rId2"/>
    <sheet name="dead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N28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4" i="1"/>
  <c r="D4" i="1"/>
  <c r="E3" i="2"/>
  <c r="D5" i="1"/>
  <c r="L5" i="1" s="1"/>
  <c r="N5" i="1" s="1"/>
  <c r="D6" i="1"/>
  <c r="D7" i="1"/>
  <c r="D8" i="1"/>
  <c r="L8" i="1" s="1"/>
  <c r="N8" i="1" s="1"/>
  <c r="D9" i="1"/>
  <c r="L9" i="1" s="1"/>
  <c r="N9" i="1" s="1"/>
  <c r="D10" i="1"/>
  <c r="L10" i="1" s="1"/>
  <c r="N10" i="1" s="1"/>
  <c r="D11" i="1"/>
  <c r="D12" i="1"/>
  <c r="L12" i="1" s="1"/>
  <c r="N12" i="1" s="1"/>
  <c r="D13" i="1"/>
  <c r="L13" i="1" s="1"/>
  <c r="N13" i="1" s="1"/>
  <c r="D14" i="1"/>
  <c r="D15" i="1"/>
  <c r="D16" i="1"/>
  <c r="L16" i="1" s="1"/>
  <c r="N16" i="1" s="1"/>
  <c r="D17" i="1"/>
  <c r="L17" i="1" s="1"/>
  <c r="N17" i="1" s="1"/>
  <c r="D18" i="1"/>
  <c r="L18" i="1" s="1"/>
  <c r="N18" i="1" s="1"/>
  <c r="D19" i="1"/>
  <c r="L19" i="1" s="1"/>
  <c r="N19" i="1" s="1"/>
  <c r="D20" i="1"/>
  <c r="L20" i="1" s="1"/>
  <c r="N20" i="1" s="1"/>
  <c r="D21" i="1"/>
  <c r="D22" i="1"/>
  <c r="L22" i="1" s="1"/>
  <c r="N22" i="1" s="1"/>
  <c r="D23" i="1"/>
  <c r="L23" i="1" s="1"/>
  <c r="N23" i="1" s="1"/>
  <c r="D24" i="1"/>
  <c r="L24" i="1" s="1"/>
  <c r="N24" i="1" s="1"/>
  <c r="L1" i="1"/>
  <c r="K1" i="1"/>
  <c r="F4" i="2"/>
  <c r="F5" i="2"/>
  <c r="F6" i="2"/>
  <c r="F3" i="2"/>
  <c r="E4" i="2"/>
  <c r="E5" i="2"/>
  <c r="E6" i="2"/>
  <c r="D4" i="2"/>
  <c r="D5" i="2"/>
  <c r="D6" i="2"/>
  <c r="D3" i="2"/>
  <c r="L6" i="1"/>
  <c r="N6" i="1" s="1"/>
  <c r="L7" i="1"/>
  <c r="N7" i="1" s="1"/>
  <c r="L14" i="1"/>
  <c r="N14" i="1" s="1"/>
  <c r="L15" i="1"/>
  <c r="N15" i="1" s="1"/>
  <c r="F8" i="2"/>
  <c r="D1" i="1"/>
  <c r="G4" i="1" l="1"/>
  <c r="F13" i="1"/>
  <c r="G7" i="1"/>
  <c r="H23" i="1"/>
  <c r="H6" i="1"/>
  <c r="F21" i="1"/>
  <c r="F5" i="1"/>
  <c r="F12" i="1"/>
  <c r="F3" i="1"/>
  <c r="L21" i="1"/>
  <c r="N21" i="1" s="1"/>
  <c r="F4" i="1"/>
  <c r="G19" i="1"/>
  <c r="G12" i="1"/>
  <c r="F18" i="1"/>
  <c r="G11" i="1"/>
  <c r="F17" i="1"/>
  <c r="F11" i="1"/>
  <c r="F19" i="1"/>
  <c r="F10" i="1"/>
  <c r="L11" i="1"/>
  <c r="N11" i="1" s="1"/>
  <c r="F9" i="1"/>
  <c r="L4" i="1"/>
  <c r="N4" i="1" s="1"/>
  <c r="H21" i="1"/>
  <c r="F24" i="1"/>
  <c r="F16" i="1"/>
  <c r="F8" i="1"/>
  <c r="H22" i="1"/>
  <c r="H14" i="1"/>
  <c r="F23" i="1"/>
  <c r="F15" i="1"/>
  <c r="F7" i="1"/>
  <c r="G20" i="1"/>
  <c r="H13" i="1"/>
  <c r="F22" i="1"/>
  <c r="F14" i="1"/>
  <c r="F6" i="1"/>
  <c r="I14" i="1"/>
  <c r="H5" i="1"/>
  <c r="F20" i="1"/>
  <c r="F9" i="2"/>
  <c r="G9" i="1"/>
  <c r="H11" i="1"/>
  <c r="G24" i="1"/>
  <c r="G8" i="1"/>
  <c r="H18" i="1"/>
  <c r="H10" i="1"/>
  <c r="G23" i="1"/>
  <c r="G15" i="1"/>
  <c r="H17" i="1"/>
  <c r="H9" i="1"/>
  <c r="H8" i="1"/>
  <c r="G18" i="1"/>
  <c r="G10" i="1"/>
  <c r="H20" i="1"/>
  <c r="H12" i="1"/>
  <c r="G17" i="1"/>
  <c r="H19" i="1"/>
  <c r="G16" i="1"/>
  <c r="G22" i="1"/>
  <c r="G14" i="1"/>
  <c r="G6" i="1"/>
  <c r="H4" i="1"/>
  <c r="H16" i="1"/>
  <c r="G21" i="1"/>
  <c r="I21" i="1" s="1"/>
  <c r="G13" i="1"/>
  <c r="G5" i="1"/>
  <c r="H24" i="1"/>
  <c r="H15" i="1"/>
  <c r="H7" i="1"/>
  <c r="I4" i="1" l="1"/>
  <c r="I20" i="1"/>
  <c r="I6" i="1"/>
  <c r="I10" i="1"/>
  <c r="I11" i="1"/>
  <c r="I19" i="1"/>
  <c r="I16" i="1"/>
  <c r="I12" i="1"/>
  <c r="I8" i="1"/>
  <c r="I5" i="1"/>
  <c r="J5" i="1" s="1"/>
  <c r="I13" i="1"/>
  <c r="I17" i="1"/>
  <c r="I22" i="1"/>
  <c r="I23" i="1"/>
  <c r="I7" i="1"/>
  <c r="I15" i="1"/>
  <c r="I18" i="1"/>
  <c r="I24" i="1"/>
  <c r="I9" i="1"/>
  <c r="J4" i="1"/>
  <c r="J6" i="1" l="1"/>
  <c r="J12" i="1"/>
  <c r="J7" i="1"/>
  <c r="O7" i="1" s="1"/>
  <c r="J24" i="1"/>
  <c r="O24" i="1" s="1"/>
  <c r="J17" i="1"/>
  <c r="O17" i="1" s="1"/>
  <c r="J8" i="1"/>
  <c r="O8" i="1" s="1"/>
  <c r="J19" i="1"/>
  <c r="O19" i="1" s="1"/>
  <c r="J9" i="1"/>
  <c r="Q9" i="1" s="1"/>
  <c r="J16" i="1"/>
  <c r="Q16" i="1" s="1"/>
  <c r="O12" i="1"/>
  <c r="Q12" i="1"/>
  <c r="J13" i="1"/>
  <c r="O5" i="1"/>
  <c r="Q5" i="1"/>
  <c r="Q7" i="1"/>
  <c r="J10" i="1"/>
  <c r="J11" i="1"/>
  <c r="J14" i="1"/>
  <c r="J20" i="1"/>
  <c r="O6" i="1"/>
  <c r="Q6" i="1"/>
  <c r="O4" i="1"/>
  <c r="Q4" i="1"/>
  <c r="O16" i="1"/>
  <c r="J23" i="1"/>
  <c r="J22" i="1"/>
  <c r="J15" i="1"/>
  <c r="J18" i="1"/>
  <c r="J21" i="1"/>
  <c r="Q19" i="1" l="1"/>
  <c r="Q24" i="1"/>
  <c r="Q8" i="1"/>
  <c r="Q17" i="1"/>
  <c r="O9" i="1"/>
  <c r="O18" i="1"/>
  <c r="Q18" i="1"/>
  <c r="O10" i="1"/>
  <c r="Q10" i="1"/>
  <c r="O22" i="1"/>
  <c r="Q22" i="1"/>
  <c r="O14" i="1"/>
  <c r="Q14" i="1"/>
  <c r="O11" i="1"/>
  <c r="Q11" i="1"/>
  <c r="O21" i="1"/>
  <c r="Q21" i="1"/>
  <c r="O15" i="1"/>
  <c r="Q15" i="1"/>
  <c r="O20" i="1"/>
  <c r="Q20" i="1"/>
  <c r="O23" i="1"/>
  <c r="Q23" i="1"/>
  <c r="O13" i="1"/>
  <c r="Q13" i="1"/>
  <c r="Q28" i="1" l="1"/>
  <c r="Q29" i="1"/>
</calcChain>
</file>

<file path=xl/sharedStrings.xml><?xml version="1.0" encoding="utf-8"?>
<sst xmlns="http://schemas.openxmlformats.org/spreadsheetml/2006/main" count="34" uniqueCount="31">
  <si>
    <t>P1</t>
  </si>
  <si>
    <t>P2</t>
  </si>
  <si>
    <t>V</t>
  </si>
  <si>
    <t>VB</t>
  </si>
  <si>
    <t>Pn</t>
  </si>
  <si>
    <t>Pn0</t>
  </si>
  <si>
    <t>vn</t>
  </si>
  <si>
    <t>Vn</t>
  </si>
  <si>
    <t>PnVB/T  (cc.S.T.P.)</t>
  </si>
  <si>
    <t>x=P/P0</t>
  </si>
  <si>
    <t>v=sum (vn)</t>
  </si>
  <si>
    <t>1/v(1-x)</t>
  </si>
  <si>
    <t>(1-x)/x</t>
  </si>
  <si>
    <t>P1-P0</t>
  </si>
  <si>
    <t>P0</t>
  </si>
  <si>
    <t>slope</t>
  </si>
  <si>
    <t>intercept</t>
  </si>
  <si>
    <t>v_m</t>
  </si>
  <si>
    <t>c</t>
  </si>
  <si>
    <t>v(1-x)</t>
  </si>
  <si>
    <t>P2-P0</t>
  </si>
  <si>
    <t>V_A</t>
  </si>
  <si>
    <t>g</t>
  </si>
  <si>
    <t>n=0</t>
  </si>
  <si>
    <t>n=1</t>
  </si>
  <si>
    <t>n=2</t>
  </si>
  <si>
    <t>6.25003914e-06 1.04167839e-05 1.62502735e-05 2.23219364e-05</t>
  </si>
  <si>
    <t>0.00048684 0.00121541 0.00257939 0.00447357</t>
  </si>
  <si>
    <t>0.00904386 0.02019885 0.03801936 0.058883</t>
  </si>
  <si>
    <t>0.02757932 0.05627931 0.09682159 0.13884462</t>
  </si>
  <si>
    <t>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</si>
</sst>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active!$O$2</c:f>
              <c:strCache>
                <c:ptCount val="1"/>
                <c:pt idx="0">
                  <c:v>1/v(1-x)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503284747545705"/>
                  <c:y val="4.11256720549678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JP"/>
                </a:p>
              </c:txPr>
            </c:trendlineLbl>
          </c:trendline>
          <c:xVal>
            <c:numRef>
              <c:f>active!$N$15:$N$19</c:f>
              <c:numCache>
                <c:formatCode>General</c:formatCode>
                <c:ptCount val="5"/>
                <c:pt idx="0">
                  <c:v>48.091569767441861</c:v>
                </c:pt>
                <c:pt idx="1">
                  <c:v>29.391421715656868</c:v>
                </c:pt>
                <c:pt idx="2">
                  <c:v>16.518153526970956</c:v>
                </c:pt>
                <c:pt idx="3">
                  <c:v>10.776499302649931</c:v>
                </c:pt>
                <c:pt idx="4">
                  <c:v>8.5015941485371336</c:v>
                </c:pt>
              </c:numCache>
            </c:numRef>
          </c:xVal>
          <c:yVal>
            <c:numRef>
              <c:f>active!$O$15:$O$19</c:f>
              <c:numCache>
                <c:formatCode>General</c:formatCode>
                <c:ptCount val="5"/>
                <c:pt idx="0">
                  <c:v>5.7539786329000489E-2</c:v>
                </c:pt>
                <c:pt idx="1">
                  <c:v>5.6081932157280114E-2</c:v>
                </c:pt>
                <c:pt idx="2">
                  <c:v>5.4810660154578493E-2</c:v>
                </c:pt>
                <c:pt idx="3">
                  <c:v>5.4845272995504492E-2</c:v>
                </c:pt>
                <c:pt idx="4">
                  <c:v>5.4781132551167205E-2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7-1D41-895C-300F17CF8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015232"/>
        <c:axId val="279006720"/>
      </c:scatterChart>
      <c:valAx>
        <c:axId val="27901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(1-x)/x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79006720"/>
        <c:crosses val="autoZero"/>
        <c:crossBetween val="midCat"/>
      </c:valAx>
      <c:valAx>
        <c:axId val="279006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1/v(1-x)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790152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active!$N$16:$N$24</c:f>
              <c:numCache>
                <c:formatCode>General</c:formatCode>
                <c:ptCount val="9"/>
                <c:pt idx="0">
                  <c:v>29.391421715656868</c:v>
                </c:pt>
                <c:pt idx="1">
                  <c:v>16.518153526970956</c:v>
                </c:pt>
                <c:pt idx="2">
                  <c:v>10.776499302649931</c:v>
                </c:pt>
                <c:pt idx="3">
                  <c:v>8.5015941485371336</c:v>
                </c:pt>
                <c:pt idx="4">
                  <c:v>6.9445664105378713</c:v>
                </c:pt>
                <c:pt idx="5">
                  <c:v>4.6092227635075282</c:v>
                </c:pt>
                <c:pt idx="6">
                  <c:v>3.62586742147553</c:v>
                </c:pt>
                <c:pt idx="7">
                  <c:v>2.8667760647229437</c:v>
                </c:pt>
                <c:pt idx="8">
                  <c:v>2.6079262213359917</c:v>
                </c:pt>
              </c:numCache>
            </c:numRef>
          </c:xVal>
          <c:yVal>
            <c:numRef>
              <c:f>active!$O$16:$O$24</c:f>
              <c:numCache>
                <c:formatCode>General</c:formatCode>
                <c:ptCount val="9"/>
                <c:pt idx="0">
                  <c:v>5.6081932157280114E-2</c:v>
                </c:pt>
                <c:pt idx="1">
                  <c:v>5.4810660154578493E-2</c:v>
                </c:pt>
                <c:pt idx="2">
                  <c:v>5.4845272995504492E-2</c:v>
                </c:pt>
                <c:pt idx="3">
                  <c:v>5.4781132551167205E-2</c:v>
                </c:pt>
                <c:pt idx="4">
                  <c:v>5.5699011558286056E-2</c:v>
                </c:pt>
                <c:pt idx="5">
                  <c:v>5.7973734837899617E-2</c:v>
                </c:pt>
                <c:pt idx="6">
                  <c:v>5.9630186130223348E-2</c:v>
                </c:pt>
                <c:pt idx="7">
                  <c:v>6.1990974576893641E-2</c:v>
                </c:pt>
                <c:pt idx="8">
                  <c:v>6.3140948236995967E-2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3-4046-BA58-4F42AF568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13984"/>
        <c:axId val="180990656"/>
      </c:scatterChart>
      <c:valAx>
        <c:axId val="2261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0990656"/>
        <c:crosses val="autoZero"/>
        <c:crossBetween val="midCat"/>
      </c:valAx>
      <c:valAx>
        <c:axId val="1809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2611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active!$M$2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active!$L$3:$L$24</c:f>
              <c:numCache>
                <c:formatCode>General</c:formatCode>
                <c:ptCount val="22"/>
                <c:pt idx="1">
                  <c:v>9.8692326671601285E-6</c:v>
                </c:pt>
                <c:pt idx="2">
                  <c:v>3.4542314335060452E-5</c:v>
                </c:pt>
                <c:pt idx="3">
                  <c:v>3.6516160868492505E-5</c:v>
                </c:pt>
                <c:pt idx="4">
                  <c:v>6.9084628670120903E-5</c:v>
                </c:pt>
                <c:pt idx="5">
                  <c:v>7.5006168270416989E-5</c:v>
                </c:pt>
                <c:pt idx="6">
                  <c:v>1.144830989390575E-4</c:v>
                </c:pt>
                <c:pt idx="7">
                  <c:v>1.4803849000740192E-4</c:v>
                </c:pt>
                <c:pt idx="8">
                  <c:v>1.8751542067604245E-4</c:v>
                </c:pt>
                <c:pt idx="9">
                  <c:v>5.3293856402664695E-4</c:v>
                </c:pt>
                <c:pt idx="10">
                  <c:v>1.5692079940784604E-3</c:v>
                </c:pt>
                <c:pt idx="11">
                  <c:v>3.5924006908462868E-3</c:v>
                </c:pt>
                <c:pt idx="12">
                  <c:v>2.0370096225018505E-2</c:v>
                </c:pt>
                <c:pt idx="13">
                  <c:v>3.2904021712311868E-2</c:v>
                </c:pt>
                <c:pt idx="14">
                  <c:v>5.708364174685418E-2</c:v>
                </c:pt>
                <c:pt idx="15">
                  <c:v>8.4914877868245739E-2</c:v>
                </c:pt>
                <c:pt idx="16">
                  <c:v>0.10524549716259561</c:v>
                </c:pt>
                <c:pt idx="17">
                  <c:v>0.12587219343696027</c:v>
                </c:pt>
                <c:pt idx="18">
                  <c:v>0.17827781889958055</c:v>
                </c:pt>
                <c:pt idx="19">
                  <c:v>0.21617567234147544</c:v>
                </c:pt>
                <c:pt idx="20">
                  <c:v>0.25861337281026398</c:v>
                </c:pt>
                <c:pt idx="21">
                  <c:v>0.27716753022452506</c:v>
                </c:pt>
              </c:numCache>
            </c:numRef>
          </c:xVal>
          <c:yVal>
            <c:numRef>
              <c:f>active!$M$3:$M$24</c:f>
              <c:numCache>
                <c:formatCode>General</c:formatCode>
                <c:ptCount val="2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B-8C4A-839A-20FE80AD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72416"/>
        <c:axId val="1706698367"/>
      </c:scatterChart>
      <c:valAx>
        <c:axId val="2027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698367"/>
        <c:crosses val="autoZero"/>
        <c:crossBetween val="midCat"/>
      </c:valAx>
      <c:valAx>
        <c:axId val="17066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277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active!$Q$2</c:f>
              <c:strCache>
                <c:ptCount val="1"/>
                <c:pt idx="0">
                  <c:v>v(1-x)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active!$L$3:$L$24</c:f>
              <c:numCache>
                <c:formatCode>General</c:formatCode>
                <c:ptCount val="22"/>
                <c:pt idx="1">
                  <c:v>9.8692326671601285E-6</c:v>
                </c:pt>
                <c:pt idx="2">
                  <c:v>3.4542314335060452E-5</c:v>
                </c:pt>
                <c:pt idx="3">
                  <c:v>3.6516160868492505E-5</c:v>
                </c:pt>
                <c:pt idx="4">
                  <c:v>6.9084628670120903E-5</c:v>
                </c:pt>
                <c:pt idx="5">
                  <c:v>7.5006168270416989E-5</c:v>
                </c:pt>
                <c:pt idx="6">
                  <c:v>1.144830989390575E-4</c:v>
                </c:pt>
                <c:pt idx="7">
                  <c:v>1.4803849000740192E-4</c:v>
                </c:pt>
                <c:pt idx="8">
                  <c:v>1.8751542067604245E-4</c:v>
                </c:pt>
                <c:pt idx="9">
                  <c:v>5.3293856402664695E-4</c:v>
                </c:pt>
                <c:pt idx="10">
                  <c:v>1.5692079940784604E-3</c:v>
                </c:pt>
                <c:pt idx="11">
                  <c:v>3.5924006908462868E-3</c:v>
                </c:pt>
                <c:pt idx="12">
                  <c:v>2.0370096225018505E-2</c:v>
                </c:pt>
                <c:pt idx="13">
                  <c:v>3.2904021712311868E-2</c:v>
                </c:pt>
                <c:pt idx="14">
                  <c:v>5.708364174685418E-2</c:v>
                </c:pt>
                <c:pt idx="15">
                  <c:v>8.4914877868245739E-2</c:v>
                </c:pt>
                <c:pt idx="16">
                  <c:v>0.10524549716259561</c:v>
                </c:pt>
                <c:pt idx="17">
                  <c:v>0.12587219343696027</c:v>
                </c:pt>
                <c:pt idx="18">
                  <c:v>0.17827781889958055</c:v>
                </c:pt>
                <c:pt idx="19">
                  <c:v>0.21617567234147544</c:v>
                </c:pt>
                <c:pt idx="20">
                  <c:v>0.25861337281026398</c:v>
                </c:pt>
                <c:pt idx="21">
                  <c:v>0.27716753022452506</c:v>
                </c:pt>
              </c:numCache>
            </c:numRef>
          </c:xVal>
          <c:yVal>
            <c:numRef>
              <c:f>active!$Q$3:$Q$24</c:f>
              <c:numCache>
                <c:formatCode>General</c:formatCode>
                <c:ptCount val="22"/>
                <c:pt idx="1">
                  <c:v>0.48344160375888445</c:v>
                </c:pt>
                <c:pt idx="2">
                  <c:v>2.5110993156655272</c:v>
                </c:pt>
                <c:pt idx="3">
                  <c:v>4.2614039385997495</c:v>
                </c:pt>
                <c:pt idx="4">
                  <c:v>5.3310510569639424</c:v>
                </c:pt>
                <c:pt idx="5">
                  <c:v>7.6230007617612481</c:v>
                </c:pt>
                <c:pt idx="6">
                  <c:v>8.8292185194070143</c:v>
                </c:pt>
                <c:pt idx="7">
                  <c:v>9.774681466330998</c:v>
                </c:pt>
                <c:pt idx="8">
                  <c:v>11.181014337100825</c:v>
                </c:pt>
                <c:pt idx="9">
                  <c:v>12.92663866258844</c:v>
                </c:pt>
                <c:pt idx="10">
                  <c:v>14.497443801003532</c:v>
                </c:pt>
                <c:pt idx="11">
                  <c:v>15.181405365989974</c:v>
                </c:pt>
                <c:pt idx="12">
                  <c:v>17.37927899631411</c:v>
                </c:pt>
                <c:pt idx="13">
                  <c:v>17.831054700389593</c:v>
                </c:pt>
                <c:pt idx="14">
                  <c:v>18.244626085140613</c:v>
                </c:pt>
                <c:pt idx="15">
                  <c:v>18.233111905231414</c:v>
                </c:pt>
                <c:pt idx="16">
                  <c:v>18.254460129424491</c:v>
                </c:pt>
                <c:pt idx="17">
                  <c:v>17.953639966367323</c:v>
                </c:pt>
                <c:pt idx="18">
                  <c:v>17.249190565280994</c:v>
                </c:pt>
                <c:pt idx="19">
                  <c:v>16.770029827110559</c:v>
                </c:pt>
                <c:pt idx="20">
                  <c:v>16.131380524750412</c:v>
                </c:pt>
                <c:pt idx="21">
                  <c:v>15.837582866930614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0-7B45-9BD9-AD3B64291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62272"/>
        <c:axId val="225054656"/>
      </c:scatterChart>
      <c:valAx>
        <c:axId val="22506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P/P0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25054656"/>
        <c:crosses val="autoZero"/>
        <c:crossBetween val="midCat"/>
      </c:valAx>
      <c:valAx>
        <c:axId val="225054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v(1-P/P0)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250622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active!$G$35</c:f>
              <c:strCache>
                <c:ptCount val="1"/>
                <c:pt idx="0">
                  <c:v>v=sum (vn)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active!$F$36:$F$57</c:f>
              <c:numCache>
                <c:formatCode>General</c:formatCode>
                <c:ptCount val="22"/>
                <c:pt idx="1">
                  <c:v>9.8692326671601285E-6</c:v>
                </c:pt>
                <c:pt idx="2">
                  <c:v>3.4542314335060452E-5</c:v>
                </c:pt>
                <c:pt idx="3">
                  <c:v>3.6516160868492505E-5</c:v>
                </c:pt>
                <c:pt idx="4">
                  <c:v>6.9084628670120903E-5</c:v>
                </c:pt>
                <c:pt idx="5">
                  <c:v>7.5006168270416989E-5</c:v>
                </c:pt>
                <c:pt idx="6">
                  <c:v>1.144830989390575E-4</c:v>
                </c:pt>
                <c:pt idx="7">
                  <c:v>1.4803849000740192E-4</c:v>
                </c:pt>
                <c:pt idx="8">
                  <c:v>1.8751542067604245E-4</c:v>
                </c:pt>
                <c:pt idx="9">
                  <c:v>5.3293856402664695E-4</c:v>
                </c:pt>
                <c:pt idx="10">
                  <c:v>1.5692079940784604E-3</c:v>
                </c:pt>
                <c:pt idx="11">
                  <c:v>3.5924006908462868E-3</c:v>
                </c:pt>
                <c:pt idx="12">
                  <c:v>2.0370096225018505E-2</c:v>
                </c:pt>
                <c:pt idx="13">
                  <c:v>3.2904021712311868E-2</c:v>
                </c:pt>
                <c:pt idx="14">
                  <c:v>5.708364174685418E-2</c:v>
                </c:pt>
                <c:pt idx="15">
                  <c:v>8.4914877868245739E-2</c:v>
                </c:pt>
                <c:pt idx="16">
                  <c:v>0.10524549716259561</c:v>
                </c:pt>
                <c:pt idx="17">
                  <c:v>0.12587219343696027</c:v>
                </c:pt>
                <c:pt idx="18">
                  <c:v>0.17827781889958055</c:v>
                </c:pt>
                <c:pt idx="19">
                  <c:v>0.21617567234147544</c:v>
                </c:pt>
                <c:pt idx="20">
                  <c:v>0.25861337281026398</c:v>
                </c:pt>
                <c:pt idx="21">
                  <c:v>0.27716753022452506</c:v>
                </c:pt>
              </c:numCache>
            </c:numRef>
          </c:xVal>
          <c:yVal>
            <c:numRef>
              <c:f>active!$G$36:$G$57</c:f>
              <c:numCache>
                <c:formatCode>General</c:formatCode>
                <c:ptCount val="22"/>
                <c:pt idx="1">
                  <c:v>0.48344637500364146</c:v>
                </c:pt>
                <c:pt idx="2">
                  <c:v>2.5111860578436911</c:v>
                </c:pt>
                <c:pt idx="3">
                  <c:v>4.2615595543939886</c:v>
                </c:pt>
                <c:pt idx="4">
                  <c:v>5.3314193760918247</c:v>
                </c:pt>
                <c:pt idx="5">
                  <c:v>7.6235725767287601</c:v>
                </c:pt>
                <c:pt idx="6">
                  <c:v>8.8302294314366669</c:v>
                </c:pt>
                <c:pt idx="7">
                  <c:v>9.7761287096632952</c:v>
                </c:pt>
                <c:pt idx="8">
                  <c:v>11.183111342928761</c:v>
                </c:pt>
                <c:pt idx="9">
                  <c:v>12.933531440262007</c:v>
                </c:pt>
                <c:pt idx="10">
                  <c:v>14.520229060521153</c:v>
                </c:pt>
                <c:pt idx="11">
                  <c:v>15.236139684719191</c:v>
                </c:pt>
                <c:pt idx="12">
                  <c:v>17.740657904932725</c:v>
                </c:pt>
                <c:pt idx="13">
                  <c:v>18.437730174372909</c:v>
                </c:pt>
                <c:pt idx="14">
                  <c:v>19.349145791616927</c:v>
                </c:pt>
                <c:pt idx="15">
                  <c:v>19.925044637111043</c:v>
                </c:pt>
                <c:pt idx="16">
                  <c:v>20.401640976979479</c:v>
                </c:pt>
                <c:pt idx="17">
                  <c:v>20.538918715969888</c:v>
                </c:pt>
                <c:pt idx="18">
                  <c:v>20.991511440255302</c:v>
                </c:pt>
                <c:pt idx="19">
                  <c:v>21.395138215736107</c:v>
                </c:pt>
                <c:pt idx="20">
                  <c:v>21.758391550569552</c:v>
                </c:pt>
                <c:pt idx="21">
                  <c:v>21.910447481489118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9-3140-B509-A83598B39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21184"/>
        <c:axId val="181017152"/>
      </c:scatterChart>
      <c:valAx>
        <c:axId val="18102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P/P0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1017152"/>
        <c:crosses val="autoZero"/>
        <c:crossBetween val="midCat"/>
      </c:valAx>
      <c:valAx>
        <c:axId val="181017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/ cm3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10211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235297</xdr:colOff>
      <xdr:row>4</xdr:row>
      <xdr:rowOff>65817</xdr:rowOff>
    </xdr:from>
    <xdr:to>
      <xdr:col>27</xdr:col>
      <xdr:colOff>96629</xdr:colOff>
      <xdr:row>26</xdr:row>
      <xdr:rowOff>165652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5556AE-7CA4-32C8-62E0-B5B0BBAD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123133</xdr:colOff>
      <xdr:row>32</xdr:row>
      <xdr:rowOff>2581</xdr:rowOff>
    </xdr:from>
    <xdr:to>
      <xdr:col>28</xdr:col>
      <xdr:colOff>595657</xdr:colOff>
      <xdr:row>45</xdr:row>
      <xdr:rowOff>32566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35D32E-CEA8-C189-8CDA-6853F33DC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782277</xdr:colOff>
      <xdr:row>34</xdr:row>
      <xdr:rowOff>101171</xdr:rowOff>
    </xdr:from>
    <xdr:to>
      <xdr:col>15</xdr:col>
      <xdr:colOff>413906</xdr:colOff>
      <xdr:row>48</xdr:row>
      <xdr:rowOff>5548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517E0-CC07-A19E-6CD5-76ED9BCAE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320782</xdr:colOff>
      <xdr:row>35</xdr:row>
      <xdr:rowOff>160344</xdr:rowOff>
    </xdr:from>
    <xdr:to>
      <xdr:col>21</xdr:col>
      <xdr:colOff>752479</xdr:colOff>
      <xdr:row>49</xdr:row>
      <xdr:rowOff>47081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4ED63C-05BC-73E1-0FF7-483DFB51B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571500</xdr:colOff>
      <xdr:row>48</xdr:row>
      <xdr:rowOff>198891</xdr:rowOff>
    </xdr:from>
    <xdr:to>
      <xdr:col>14</xdr:col>
      <xdr:colOff>176893</xdr:colOff>
      <xdr:row>62</xdr:row>
      <xdr:rowOff>84591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859312-9C04-8672-0565-7658B7E48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46AC-942E-634A-B58D-2E18AF1D26F6}">
  <dimension ref="A1:Q57"/>
  <sheetViews>
    <sheetView topLeftCell="A54" zoomScale="68" workbookViewId="0">
      <selection activeCell="Q29" sqref="Q29"/>
    </sheetView>
  </sheetViews>
  <sheetFormatPr baseColWidth="10" defaultRowHeight="16" x14ac:dyDescent="0.2"/>
  <cols>
    <col min="6" max="6" width="15.6640625" bestFit="1" customWidth="1"/>
    <col min="14" max="14" width="12.33203125" bestFit="1" customWidth="1"/>
  </cols>
  <sheetData>
    <row r="1" spans="1:17" x14ac:dyDescent="0.2">
      <c r="D1">
        <f>20.5+273.15</f>
        <v>293.64999999999998</v>
      </c>
      <c r="E1">
        <v>36</v>
      </c>
      <c r="F1">
        <v>42.57</v>
      </c>
      <c r="G1">
        <v>273.14999999999998</v>
      </c>
      <c r="H1">
        <v>101325</v>
      </c>
      <c r="J1" t="s">
        <v>3</v>
      </c>
      <c r="K1">
        <f>dead!F8</f>
        <v>82.669908079099073</v>
      </c>
      <c r="L1">
        <f>dead!F9</f>
        <v>0.28896783622952116</v>
      </c>
    </row>
    <row r="2" spans="1:17" x14ac:dyDescent="0.2">
      <c r="B2" t="s">
        <v>5</v>
      </c>
      <c r="D2" t="s">
        <v>4</v>
      </c>
      <c r="F2" t="s">
        <v>8</v>
      </c>
      <c r="G2" t="s">
        <v>7</v>
      </c>
      <c r="H2" t="s">
        <v>7</v>
      </c>
      <c r="I2" t="s">
        <v>6</v>
      </c>
      <c r="J2" t="s">
        <v>10</v>
      </c>
      <c r="L2" t="s">
        <v>9</v>
      </c>
      <c r="N2" t="s">
        <v>12</v>
      </c>
      <c r="O2" t="s">
        <v>11</v>
      </c>
      <c r="Q2" t="s">
        <v>19</v>
      </c>
    </row>
    <row r="3" spans="1:17" x14ac:dyDescent="0.2">
      <c r="F3">
        <f>D3*$K$1</f>
        <v>0</v>
      </c>
    </row>
    <row r="4" spans="1:17" x14ac:dyDescent="0.2">
      <c r="A4">
        <v>1</v>
      </c>
      <c r="B4">
        <f>C4-$E$1</f>
        <v>1240</v>
      </c>
      <c r="C4">
        <v>1276</v>
      </c>
      <c r="D4">
        <f>E4-$E$1</f>
        <v>1</v>
      </c>
      <c r="E4">
        <v>37</v>
      </c>
      <c r="F4">
        <f>$G$1/$H$1*D4*$K$1/$D$1</f>
        <v>7.5893056174110925E-4</v>
      </c>
      <c r="G4">
        <f>$G$1/$H$1*B4*$F$1/$D$1</f>
        <v>0.48459610887899468</v>
      </c>
      <c r="H4">
        <f>$G$1/$H$1*D4*($F$1+$K$1)/$D$1</f>
        <v>1.1497338753532018E-3</v>
      </c>
      <c r="I4">
        <f>G4+F3-H4</f>
        <v>0.48344637500364146</v>
      </c>
      <c r="J4">
        <f>SUM($I$4:I4)</f>
        <v>0.48344637500364146</v>
      </c>
      <c r="L4">
        <f>D4/$H$1</f>
        <v>9.8692326671601285E-6</v>
      </c>
      <c r="N4">
        <f>(1-L4)/L4</f>
        <v>101323.99999999999</v>
      </c>
      <c r="O4">
        <f>1/J4/(1-L4)</f>
        <v>2.0685021566715389</v>
      </c>
      <c r="Q4">
        <f>J4*(1-L4)</f>
        <v>0.48344160375888445</v>
      </c>
    </row>
    <row r="5" spans="1:17" x14ac:dyDescent="0.2">
      <c r="A5">
        <v>2</v>
      </c>
      <c r="B5">
        <f t="shared" ref="B5:B24" si="0">C5-$E$1</f>
        <v>5197</v>
      </c>
      <c r="C5">
        <v>5233</v>
      </c>
      <c r="D5">
        <f t="shared" ref="D5:D24" si="1">E5-$E$1</f>
        <v>3.5</v>
      </c>
      <c r="E5">
        <v>39.5</v>
      </c>
      <c r="F5">
        <f t="shared" ref="F5:F24" si="2">$G$1/$H$1*D5*$K$1/$D$1</f>
        <v>2.656256966093882E-3</v>
      </c>
      <c r="G5">
        <f>$G$1/$H$1*B5*$F$1/$D$1</f>
        <v>2.0310048208420448</v>
      </c>
      <c r="H5">
        <f t="shared" ref="H5:H24" si="3">$G$1/$H$1*D5*($F$1+$K$1)/$D$1</f>
        <v>4.0240685637362066E-3</v>
      </c>
      <c r="I5">
        <f t="shared" ref="I5:I24" si="4">G5+F4-H5</f>
        <v>2.0277396828400498</v>
      </c>
      <c r="J5">
        <f>SUM($I$4:I5)</f>
        <v>2.5111860578436911</v>
      </c>
      <c r="L5">
        <f t="shared" ref="L5:L24" si="5">D5/$H$1</f>
        <v>3.4542314335060452E-5</v>
      </c>
      <c r="N5">
        <f t="shared" ref="N5:N24" si="6">(1-L5)/L5</f>
        <v>28948.999999999996</v>
      </c>
      <c r="O5">
        <f>1/J5/(1-L5)</f>
        <v>0.39823195911108988</v>
      </c>
      <c r="Q5">
        <f>J5*(1-L5)</f>
        <v>2.5110993156655272</v>
      </c>
    </row>
    <row r="6" spans="1:17" x14ac:dyDescent="0.2">
      <c r="A6">
        <v>3</v>
      </c>
      <c r="B6">
        <f t="shared" si="0"/>
        <v>4483</v>
      </c>
      <c r="C6">
        <v>4519</v>
      </c>
      <c r="D6">
        <f t="shared" si="1"/>
        <v>3.7000000000000028</v>
      </c>
      <c r="E6">
        <v>39.700000000000003</v>
      </c>
      <c r="F6">
        <f t="shared" si="2"/>
        <v>2.8080430784421058E-3</v>
      </c>
      <c r="G6">
        <f>$G$1/$H$1*B6*$F$1/$D$1</f>
        <v>1.7519712549230106</v>
      </c>
      <c r="H6">
        <f t="shared" si="3"/>
        <v>4.2540153388068496E-3</v>
      </c>
      <c r="I6">
        <f t="shared" si="4"/>
        <v>1.7503734965502977</v>
      </c>
      <c r="J6">
        <f>SUM($I$4:I6)</f>
        <v>4.2615595543939886</v>
      </c>
      <c r="L6">
        <f t="shared" si="5"/>
        <v>3.6516160868492505E-5</v>
      </c>
      <c r="N6">
        <f t="shared" si="6"/>
        <v>27384.135135135111</v>
      </c>
      <c r="O6">
        <f>1/J6/(1-L6)</f>
        <v>0.23466444730620609</v>
      </c>
      <c r="Q6">
        <f>J6*(1-L6)</f>
        <v>4.2614039385997495</v>
      </c>
    </row>
    <row r="7" spans="1:17" x14ac:dyDescent="0.2">
      <c r="A7">
        <v>4</v>
      </c>
      <c r="B7">
        <f t="shared" si="0"/>
        <v>2751</v>
      </c>
      <c r="C7">
        <v>2787</v>
      </c>
      <c r="D7">
        <f t="shared" si="1"/>
        <v>7</v>
      </c>
      <c r="E7">
        <v>43</v>
      </c>
      <c r="F7">
        <f t="shared" si="2"/>
        <v>5.3125139321877641E-3</v>
      </c>
      <c r="G7">
        <f>$G$1/$H$1*B7*$F$1/$D$1</f>
        <v>1.0750999157468666</v>
      </c>
      <c r="H7">
        <f t="shared" si="3"/>
        <v>8.0481371274724132E-3</v>
      </c>
      <c r="I7">
        <f t="shared" si="4"/>
        <v>1.0698598216978363</v>
      </c>
      <c r="J7">
        <f>SUM($I$4:I7)</f>
        <v>5.3314193760918247</v>
      </c>
      <c r="L7">
        <f t="shared" si="5"/>
        <v>6.9084628670120903E-5</v>
      </c>
      <c r="N7">
        <f t="shared" si="6"/>
        <v>14473.999999999998</v>
      </c>
      <c r="O7">
        <f>1/J7/(1-L7)</f>
        <v>0.18758027062856616</v>
      </c>
      <c r="Q7">
        <f>J7*(1-L7)</f>
        <v>5.3310510569639424</v>
      </c>
    </row>
    <row r="8" spans="1:17" x14ac:dyDescent="0.2">
      <c r="A8">
        <v>5</v>
      </c>
      <c r="B8">
        <f t="shared" si="0"/>
        <v>5874</v>
      </c>
      <c r="C8">
        <v>5910</v>
      </c>
      <c r="D8">
        <f t="shared" si="1"/>
        <v>7.6000000000000014</v>
      </c>
      <c r="E8">
        <v>43.6</v>
      </c>
      <c r="F8">
        <f t="shared" si="2"/>
        <v>5.7678722692324309E-3</v>
      </c>
      <c r="G8">
        <f>$G$1/$H$1*B8*$F$1/$D$1</f>
        <v>2.2955786641574316</v>
      </c>
      <c r="H8">
        <f t="shared" si="3"/>
        <v>8.7379774526843354E-3</v>
      </c>
      <c r="I8">
        <f t="shared" si="4"/>
        <v>2.2921532006369354</v>
      </c>
      <c r="J8">
        <f>SUM($I$4:I8)</f>
        <v>7.6235725767287601</v>
      </c>
      <c r="L8">
        <f t="shared" si="5"/>
        <v>7.5006168270416989E-5</v>
      </c>
      <c r="N8">
        <f t="shared" si="6"/>
        <v>13331.236842105262</v>
      </c>
      <c r="O8">
        <f>1/J8/(1-L8)</f>
        <v>0.13118193625484514</v>
      </c>
      <c r="Q8">
        <f>J8*(1-L8)</f>
        <v>7.6230007617612481</v>
      </c>
    </row>
    <row r="9" spans="1:17" x14ac:dyDescent="0.2">
      <c r="A9">
        <v>6</v>
      </c>
      <c r="B9">
        <f t="shared" si="0"/>
        <v>3107</v>
      </c>
      <c r="C9">
        <v>3143</v>
      </c>
      <c r="D9">
        <f t="shared" si="1"/>
        <v>11.600000000000001</v>
      </c>
      <c r="E9">
        <v>47.6</v>
      </c>
      <c r="F9">
        <f t="shared" si="2"/>
        <v>8.8035945161968679E-3</v>
      </c>
      <c r="G9">
        <f>$G$1/$H$1*B9*$F$1/$D$1</f>
        <v>1.2142258953927716</v>
      </c>
      <c r="H9">
        <f t="shared" si="3"/>
        <v>1.3336912954097143E-2</v>
      </c>
      <c r="I9">
        <f t="shared" si="4"/>
        <v>1.2066568547079068</v>
      </c>
      <c r="J9">
        <f>SUM($I$4:I9)</f>
        <v>8.8302294314366669</v>
      </c>
      <c r="L9">
        <f t="shared" si="5"/>
        <v>1.144830989390575E-4</v>
      </c>
      <c r="N9">
        <f t="shared" si="6"/>
        <v>8733.9137931034475</v>
      </c>
      <c r="O9">
        <f>1/J9/(1-L9)</f>
        <v>0.11326030699115168</v>
      </c>
      <c r="Q9">
        <f>J9*(1-L9)</f>
        <v>8.8292185194070143</v>
      </c>
    </row>
    <row r="10" spans="1:17" x14ac:dyDescent="0.2">
      <c r="A10">
        <v>7</v>
      </c>
      <c r="B10">
        <f t="shared" si="0"/>
        <v>2442</v>
      </c>
      <c r="C10">
        <v>2478</v>
      </c>
      <c r="D10">
        <f t="shared" si="1"/>
        <v>15</v>
      </c>
      <c r="E10">
        <v>51</v>
      </c>
      <c r="F10">
        <f t="shared" si="2"/>
        <v>1.1383958426116638E-2</v>
      </c>
      <c r="G10">
        <f>$G$1/$H$1*B10*$F$1/$D$1</f>
        <v>0.95434169184072992</v>
      </c>
      <c r="H10">
        <f t="shared" si="3"/>
        <v>1.7246008130298029E-2</v>
      </c>
      <c r="I10">
        <f t="shared" si="4"/>
        <v>0.94589927822662867</v>
      </c>
      <c r="J10">
        <f>SUM($I$4:I10)</f>
        <v>9.7761287096632952</v>
      </c>
      <c r="L10">
        <f t="shared" si="5"/>
        <v>1.4803849000740192E-4</v>
      </c>
      <c r="N10">
        <f t="shared" si="6"/>
        <v>6754</v>
      </c>
      <c r="O10">
        <f>1/J10/(1-L10)</f>
        <v>0.1023051240538642</v>
      </c>
      <c r="Q10">
        <f>J10*(1-L10)</f>
        <v>9.774681466330998</v>
      </c>
    </row>
    <row r="11" spans="1:17" x14ac:dyDescent="0.2">
      <c r="A11">
        <v>8</v>
      </c>
      <c r="B11">
        <f t="shared" si="0"/>
        <v>3627</v>
      </c>
      <c r="C11">
        <v>3663</v>
      </c>
      <c r="D11">
        <f t="shared" si="1"/>
        <v>19</v>
      </c>
      <c r="E11">
        <v>55</v>
      </c>
      <c r="F11">
        <f t="shared" si="2"/>
        <v>1.4419680673081074E-2</v>
      </c>
      <c r="G11">
        <f>$G$1/$H$1*B11*$F$1/$D$1</f>
        <v>1.4174436184710597</v>
      </c>
      <c r="H11">
        <f t="shared" si="3"/>
        <v>2.1844943631710835E-2</v>
      </c>
      <c r="I11">
        <f t="shared" si="4"/>
        <v>1.4069826332654656</v>
      </c>
      <c r="J11">
        <f>SUM($I$4:I11)</f>
        <v>11.183111342928761</v>
      </c>
      <c r="L11">
        <f t="shared" si="5"/>
        <v>1.8751542067604245E-4</v>
      </c>
      <c r="N11">
        <f t="shared" si="6"/>
        <v>5331.894736842105</v>
      </c>
      <c r="O11">
        <f>1/J11/(1-L11)</f>
        <v>8.9437323828644208E-2</v>
      </c>
      <c r="Q11">
        <f>J11*(1-L11)</f>
        <v>11.181014337100825</v>
      </c>
    </row>
    <row r="12" spans="1:17" x14ac:dyDescent="0.2">
      <c r="A12">
        <v>9</v>
      </c>
      <c r="B12">
        <f t="shared" si="0"/>
        <v>4601</v>
      </c>
      <c r="C12">
        <v>4637</v>
      </c>
      <c r="D12">
        <f t="shared" si="1"/>
        <v>54</v>
      </c>
      <c r="E12">
        <v>90</v>
      </c>
      <c r="F12">
        <f t="shared" si="2"/>
        <v>4.09822503340199E-2</v>
      </c>
      <c r="G12">
        <f>$G$1/$H$1*B12*$F$1/$D$1</f>
        <v>1.7980860459292378</v>
      </c>
      <c r="H12">
        <f t="shared" si="3"/>
        <v>6.2085629269072899E-2</v>
      </c>
      <c r="I12">
        <f t="shared" si="4"/>
        <v>1.750420097333246</v>
      </c>
      <c r="J12">
        <f>SUM($I$4:I12)</f>
        <v>12.933531440262007</v>
      </c>
      <c r="L12">
        <f t="shared" si="5"/>
        <v>5.3293856402664695E-4</v>
      </c>
      <c r="N12">
        <f t="shared" si="6"/>
        <v>1875.3888888888887</v>
      </c>
      <c r="O12">
        <f>1/J12/(1-L12)</f>
        <v>7.7359631231446471E-2</v>
      </c>
      <c r="Q12">
        <f>J12*(1-L12)</f>
        <v>12.92663866258844</v>
      </c>
    </row>
    <row r="13" spans="1:17" x14ac:dyDescent="0.2">
      <c r="A13">
        <v>10</v>
      </c>
      <c r="B13">
        <f t="shared" si="0"/>
        <v>4423</v>
      </c>
      <c r="C13">
        <v>4459</v>
      </c>
      <c r="D13">
        <f t="shared" si="1"/>
        <v>159</v>
      </c>
      <c r="E13">
        <v>195</v>
      </c>
      <c r="F13">
        <f t="shared" si="2"/>
        <v>0.12066995931683636</v>
      </c>
      <c r="G13">
        <f>$G$1/$H$1*B13*$F$1/$D$1</f>
        <v>1.7285230561062852</v>
      </c>
      <c r="H13">
        <f t="shared" si="3"/>
        <v>0.18280768618115908</v>
      </c>
      <c r="I13">
        <f t="shared" si="4"/>
        <v>1.5866976202591458</v>
      </c>
      <c r="J13">
        <f>SUM($I$4:I13)</f>
        <v>14.520229060521153</v>
      </c>
      <c r="L13">
        <f t="shared" si="5"/>
        <v>1.5692079940784604E-3</v>
      </c>
      <c r="N13">
        <f t="shared" si="6"/>
        <v>636.2641509433962</v>
      </c>
      <c r="O13">
        <f>1/J13/(1-L13)</f>
        <v>6.8977677287549041E-2</v>
      </c>
      <c r="Q13">
        <f>J13*(1-L13)</f>
        <v>14.497443801003532</v>
      </c>
    </row>
    <row r="14" spans="1:17" x14ac:dyDescent="0.2">
      <c r="A14">
        <v>11</v>
      </c>
      <c r="B14">
        <f t="shared" si="0"/>
        <v>2594</v>
      </c>
      <c r="C14">
        <v>2630</v>
      </c>
      <c r="D14">
        <f t="shared" si="1"/>
        <v>364</v>
      </c>
      <c r="E14">
        <v>400</v>
      </c>
      <c r="F14">
        <f t="shared" si="2"/>
        <v>0.27625072447376375</v>
      </c>
      <c r="G14">
        <f>$G$1/$H$1*B14*$F$1/$D$1</f>
        <v>1.0137437955097681</v>
      </c>
      <c r="H14">
        <f t="shared" si="3"/>
        <v>0.41850313062856548</v>
      </c>
      <c r="I14">
        <f t="shared" si="4"/>
        <v>0.71591062419803897</v>
      </c>
      <c r="J14">
        <f>SUM($I$4:I14)</f>
        <v>15.236139684719191</v>
      </c>
      <c r="L14">
        <f t="shared" si="5"/>
        <v>3.5924006908462868E-3</v>
      </c>
      <c r="N14">
        <f t="shared" si="6"/>
        <v>277.36538461538458</v>
      </c>
      <c r="O14">
        <f>1/J14/(1-L14)</f>
        <v>6.5870054576122591E-2</v>
      </c>
      <c r="Q14">
        <f>J14*(1-L14)</f>
        <v>15.181405365989974</v>
      </c>
    </row>
    <row r="15" spans="1:17" x14ac:dyDescent="0.2">
      <c r="A15">
        <v>12</v>
      </c>
      <c r="B15">
        <f t="shared" si="0"/>
        <v>11774</v>
      </c>
      <c r="C15">
        <v>11810</v>
      </c>
      <c r="D15">
        <f t="shared" si="1"/>
        <v>2064</v>
      </c>
      <c r="E15">
        <v>2100</v>
      </c>
      <c r="F15">
        <f t="shared" si="2"/>
        <v>1.5664326794336494</v>
      </c>
      <c r="G15">
        <f>$G$1/$H$1*B15*$F$1/$D$1</f>
        <v>4.601318214468777</v>
      </c>
      <c r="H15">
        <f t="shared" si="3"/>
        <v>2.3730507187290084</v>
      </c>
      <c r="I15">
        <f t="shared" si="4"/>
        <v>2.5045182202135323</v>
      </c>
      <c r="J15">
        <f>SUM($I$4:I15)</f>
        <v>17.740657904932725</v>
      </c>
      <c r="L15">
        <f t="shared" si="5"/>
        <v>2.0370096225018505E-2</v>
      </c>
      <c r="N15">
        <f t="shared" si="6"/>
        <v>48.091569767441861</v>
      </c>
      <c r="O15">
        <f>1/J15/(1-L15)</f>
        <v>5.7539786329000489E-2</v>
      </c>
      <c r="Q15">
        <f>J15*(1-L15)</f>
        <v>17.37927899631411</v>
      </c>
    </row>
    <row r="16" spans="1:17" x14ac:dyDescent="0.2">
      <c r="A16">
        <v>13</v>
      </c>
      <c r="B16">
        <f t="shared" si="0"/>
        <v>7584</v>
      </c>
      <c r="C16">
        <v>7620</v>
      </c>
      <c r="D16">
        <f t="shared" si="1"/>
        <v>3334</v>
      </c>
      <c r="E16">
        <v>3370</v>
      </c>
      <c r="F16">
        <f t="shared" si="2"/>
        <v>2.5302744928448577</v>
      </c>
      <c r="G16">
        <f>$G$1/$H$1*B16*$F$1/$D$1</f>
        <v>2.96385233043411</v>
      </c>
      <c r="H16">
        <f t="shared" si="3"/>
        <v>3.8332127404275744</v>
      </c>
      <c r="I16">
        <f t="shared" si="4"/>
        <v>0.69707226944018474</v>
      </c>
      <c r="J16">
        <f>SUM($I$4:I16)</f>
        <v>18.437730174372909</v>
      </c>
      <c r="L16">
        <f t="shared" si="5"/>
        <v>3.2904021712311868E-2</v>
      </c>
      <c r="N16">
        <f t="shared" si="6"/>
        <v>29.391421715656868</v>
      </c>
      <c r="O16">
        <f>1/J16/(1-L16)</f>
        <v>5.6081932157280114E-2</v>
      </c>
      <c r="Q16">
        <f>J16*(1-L16)</f>
        <v>17.831054700389593</v>
      </c>
    </row>
    <row r="17" spans="1:17" x14ac:dyDescent="0.2">
      <c r="A17">
        <v>14</v>
      </c>
      <c r="B17">
        <f t="shared" si="0"/>
        <v>12874</v>
      </c>
      <c r="C17">
        <v>12910</v>
      </c>
      <c r="D17">
        <f t="shared" si="1"/>
        <v>5784</v>
      </c>
      <c r="E17">
        <v>5820</v>
      </c>
      <c r="F17">
        <f t="shared" si="2"/>
        <v>4.389654369110576</v>
      </c>
      <c r="G17">
        <f>$G$1/$H$1*B17*$F$1/$D$1</f>
        <v>5.0312018594420804</v>
      </c>
      <c r="H17">
        <f t="shared" si="3"/>
        <v>6.6500607350429188</v>
      </c>
      <c r="I17">
        <f t="shared" si="4"/>
        <v>0.91141561724401932</v>
      </c>
      <c r="J17">
        <f>SUM($I$4:I17)</f>
        <v>19.349145791616927</v>
      </c>
      <c r="L17">
        <f t="shared" si="5"/>
        <v>5.708364174685418E-2</v>
      </c>
      <c r="N17">
        <f t="shared" si="6"/>
        <v>16.518153526970956</v>
      </c>
      <c r="O17">
        <f>1/J17/(1-L17)</f>
        <v>5.4810660154578493E-2</v>
      </c>
      <c r="Q17">
        <f>J17*(1-L17)</f>
        <v>18.244626085140613</v>
      </c>
    </row>
    <row r="18" spans="1:17" x14ac:dyDescent="0.2">
      <c r="A18">
        <v>15</v>
      </c>
      <c r="B18">
        <f t="shared" si="0"/>
        <v>15554</v>
      </c>
      <c r="C18">
        <v>15590</v>
      </c>
      <c r="D18">
        <f t="shared" si="1"/>
        <v>8604</v>
      </c>
      <c r="E18">
        <v>8640</v>
      </c>
      <c r="F18">
        <f t="shared" si="2"/>
        <v>6.529838553220503</v>
      </c>
      <c r="G18">
        <f>$G$1/$H$1*B18*$F$1/$D$1</f>
        <v>6.0785547399224873</v>
      </c>
      <c r="H18">
        <f t="shared" si="3"/>
        <v>9.8923102635389473</v>
      </c>
      <c r="I18">
        <f t="shared" si="4"/>
        <v>0.57589884549411607</v>
      </c>
      <c r="J18">
        <f>SUM($I$4:I18)</f>
        <v>19.925044637111043</v>
      </c>
      <c r="L18">
        <f t="shared" si="5"/>
        <v>8.4914877868245739E-2</v>
      </c>
      <c r="N18">
        <f t="shared" si="6"/>
        <v>10.776499302649931</v>
      </c>
      <c r="O18">
        <f>1/J18/(1-L18)</f>
        <v>5.4845272995504492E-2</v>
      </c>
      <c r="Q18">
        <f>J18*(1-L18)</f>
        <v>18.233111905231414</v>
      </c>
    </row>
    <row r="19" spans="1:17" x14ac:dyDescent="0.2">
      <c r="A19">
        <v>16</v>
      </c>
      <c r="B19">
        <f t="shared" si="0"/>
        <v>15884</v>
      </c>
      <c r="C19">
        <v>15920</v>
      </c>
      <c r="D19">
        <f t="shared" si="1"/>
        <v>10664</v>
      </c>
      <c r="E19">
        <v>10700</v>
      </c>
      <c r="F19">
        <f t="shared" si="2"/>
        <v>8.0932355104071885</v>
      </c>
      <c r="G19">
        <f>$G$1/$H$1*B19*$F$1/$D$1</f>
        <v>6.2075198334144774</v>
      </c>
      <c r="H19">
        <f t="shared" si="3"/>
        <v>12.260762046766544</v>
      </c>
      <c r="I19">
        <f t="shared" si="4"/>
        <v>0.4765963398684363</v>
      </c>
      <c r="J19">
        <f>SUM($I$4:I19)</f>
        <v>20.401640976979479</v>
      </c>
      <c r="L19" s="1">
        <f t="shared" si="5"/>
        <v>0.10524549716259561</v>
      </c>
      <c r="N19" s="1">
        <f t="shared" si="6"/>
        <v>8.5015941485371336</v>
      </c>
      <c r="O19" s="1">
        <f>1/J19/(1-L19)</f>
        <v>5.4781132551167205E-2</v>
      </c>
      <c r="Q19">
        <f>J19*(1-L19)</f>
        <v>18.254460129424491</v>
      </c>
    </row>
    <row r="20" spans="1:17" x14ac:dyDescent="0.2">
      <c r="A20">
        <v>17</v>
      </c>
      <c r="B20">
        <f t="shared" si="0"/>
        <v>17164</v>
      </c>
      <c r="C20">
        <v>17200</v>
      </c>
      <c r="D20">
        <f t="shared" si="1"/>
        <v>12754</v>
      </c>
      <c r="E20">
        <v>12790</v>
      </c>
      <c r="F20">
        <f t="shared" si="2"/>
        <v>9.6794003844461081</v>
      </c>
      <c r="G20">
        <f>$G$1/$H$1*B20*$F$1/$D$1</f>
        <v>6.7077480748379568</v>
      </c>
      <c r="H20">
        <f t="shared" si="3"/>
        <v>14.663705846254736</v>
      </c>
      <c r="I20">
        <f t="shared" si="4"/>
        <v>0.1372777389904094</v>
      </c>
      <c r="J20">
        <f>SUM($I$4:I20)</f>
        <v>20.538918715969888</v>
      </c>
      <c r="L20" s="1">
        <f t="shared" si="5"/>
        <v>0.12587219343696027</v>
      </c>
      <c r="N20" s="1">
        <f t="shared" si="6"/>
        <v>6.9445664105378713</v>
      </c>
      <c r="O20" s="1">
        <f>1/J20/(1-L20)</f>
        <v>5.5699011558286056E-2</v>
      </c>
      <c r="Q20">
        <f>J20*(1-L20)</f>
        <v>17.953639966367323</v>
      </c>
    </row>
    <row r="21" spans="1:17" x14ac:dyDescent="0.2">
      <c r="A21">
        <v>18</v>
      </c>
      <c r="B21">
        <f t="shared" si="0"/>
        <v>29534</v>
      </c>
      <c r="C21">
        <v>29570</v>
      </c>
      <c r="D21">
        <f t="shared" si="1"/>
        <v>18064</v>
      </c>
      <c r="E21">
        <v>18100</v>
      </c>
      <c r="F21">
        <f t="shared" si="2"/>
        <v>13.709321667291396</v>
      </c>
      <c r="G21">
        <f>$G$1/$H$1*B21*$F$1/$D$1</f>
        <v>11.541985064219542</v>
      </c>
      <c r="H21">
        <f t="shared" si="3"/>
        <v>20.768792724380237</v>
      </c>
      <c r="I21">
        <f t="shared" si="4"/>
        <v>0.45259272428541308</v>
      </c>
      <c r="J21">
        <f>SUM($I$4:I21)</f>
        <v>20.991511440255302</v>
      </c>
      <c r="L21" s="1">
        <f t="shared" si="5"/>
        <v>0.17827781889958055</v>
      </c>
      <c r="N21" s="1">
        <f t="shared" si="6"/>
        <v>4.6092227635075282</v>
      </c>
      <c r="O21" s="1">
        <f>1/J21/(1-L21)</f>
        <v>5.7973734837899617E-2</v>
      </c>
      <c r="Q21">
        <f>J21*(1-L21)</f>
        <v>17.249190565280994</v>
      </c>
    </row>
    <row r="22" spans="1:17" x14ac:dyDescent="0.2">
      <c r="A22">
        <v>19</v>
      </c>
      <c r="B22">
        <f t="shared" si="0"/>
        <v>30394</v>
      </c>
      <c r="C22">
        <v>30430</v>
      </c>
      <c r="D22">
        <f t="shared" si="1"/>
        <v>21904</v>
      </c>
      <c r="E22">
        <v>21940</v>
      </c>
      <c r="F22">
        <f t="shared" si="2"/>
        <v>16.623615024377255</v>
      </c>
      <c r="G22">
        <f>$G$1/$H$1*B22*$F$1/$D$1</f>
        <v>11.878075913925942</v>
      </c>
      <c r="H22">
        <f>$G$1/$H$1*D22*($F$1+$K$1)/$D$1</f>
        <v>25.183770805736533</v>
      </c>
      <c r="I22">
        <f t="shared" si="4"/>
        <v>0.40362677548080583</v>
      </c>
      <c r="J22">
        <f>SUM($I$4:I22)</f>
        <v>21.395138215736107</v>
      </c>
      <c r="L22" s="1">
        <f t="shared" si="5"/>
        <v>0.21617567234147544</v>
      </c>
      <c r="N22" s="1">
        <f t="shared" si="6"/>
        <v>3.62586742147553</v>
      </c>
      <c r="O22" s="1">
        <f>1/J22/(1-L22)</f>
        <v>5.9630186130223348E-2</v>
      </c>
      <c r="Q22">
        <f>J22*(1-L22)</f>
        <v>16.770029827110559</v>
      </c>
    </row>
    <row r="23" spans="1:17" x14ac:dyDescent="0.2">
      <c r="A23">
        <v>20</v>
      </c>
      <c r="B23">
        <f t="shared" si="0"/>
        <v>35484</v>
      </c>
      <c r="C23">
        <v>35520</v>
      </c>
      <c r="D23">
        <f t="shared" si="1"/>
        <v>26204</v>
      </c>
      <c r="E23">
        <v>26240</v>
      </c>
      <c r="F23">
        <f t="shared" si="2"/>
        <v>19.887016439864027</v>
      </c>
      <c r="G23">
        <f>$G$1/$H$1*B23*$F$1/$D$1</f>
        <v>13.867264780211491</v>
      </c>
      <c r="H23">
        <f t="shared" si="3"/>
        <v>30.127626469755299</v>
      </c>
      <c r="I23">
        <f t="shared" si="4"/>
        <v>0.3632533348334448</v>
      </c>
      <c r="J23">
        <f>SUM($I$4:I23)</f>
        <v>21.758391550569552</v>
      </c>
      <c r="L23" s="1">
        <f t="shared" si="5"/>
        <v>0.25861337281026398</v>
      </c>
      <c r="N23" s="1">
        <f t="shared" si="6"/>
        <v>2.8667760647229437</v>
      </c>
      <c r="O23" s="1">
        <f>1/J23/(1-L23)</f>
        <v>6.1990974576893641E-2</v>
      </c>
      <c r="Q23">
        <f>J23*(1-L23)</f>
        <v>16.131380524750412</v>
      </c>
    </row>
    <row r="24" spans="1:17" x14ac:dyDescent="0.2">
      <c r="A24">
        <v>21</v>
      </c>
      <c r="B24">
        <f t="shared" si="0"/>
        <v>32124</v>
      </c>
      <c r="C24">
        <v>32160</v>
      </c>
      <c r="D24">
        <f t="shared" si="1"/>
        <v>28084</v>
      </c>
      <c r="E24">
        <v>28120</v>
      </c>
      <c r="F24">
        <f t="shared" si="2"/>
        <v>21.313805895937314</v>
      </c>
      <c r="G24">
        <f>$G$1/$H$1*B24*$F$1/$D$1</f>
        <v>12.554165646474862</v>
      </c>
      <c r="H24">
        <f t="shared" si="3"/>
        <v>32.289126155419325</v>
      </c>
      <c r="I24">
        <f t="shared" si="4"/>
        <v>0.15205593091956615</v>
      </c>
      <c r="J24">
        <f>SUM($I$4:I24)</f>
        <v>21.910447481489118</v>
      </c>
      <c r="L24" s="1">
        <f t="shared" si="5"/>
        <v>0.27716753022452506</v>
      </c>
      <c r="N24" s="1">
        <f t="shared" si="6"/>
        <v>2.6079262213359917</v>
      </c>
      <c r="O24" s="1">
        <f>1/J24/(1-L24)</f>
        <v>6.3140948236995967E-2</v>
      </c>
      <c r="Q24">
        <f>J24*(1-L24)</f>
        <v>15.837582866930614</v>
      </c>
    </row>
    <row r="28" spans="1:17" x14ac:dyDescent="0.2">
      <c r="M28" t="s">
        <v>15</v>
      </c>
      <c r="N28">
        <f>SLOPE(O15:O19,N15:N19)</f>
        <v>7.2784393481809798E-5</v>
      </c>
      <c r="P28" t="s">
        <v>18</v>
      </c>
      <c r="Q28">
        <f>N29/N28</f>
        <v>741.40570695139081</v>
      </c>
    </row>
    <row r="29" spans="1:17" x14ac:dyDescent="0.2">
      <c r="M29" t="s">
        <v>16</v>
      </c>
      <c r="N29">
        <f>INTERCEPT(O15:O19,N15:N19)</f>
        <v>5.3962764704409395E-2</v>
      </c>
      <c r="P29" t="s">
        <v>17</v>
      </c>
      <c r="Q29">
        <f>1/N29</f>
        <v>18.531296635331366</v>
      </c>
    </row>
    <row r="35" spans="6:7" x14ac:dyDescent="0.2">
      <c r="F35" t="s">
        <v>9</v>
      </c>
      <c r="G35" t="s">
        <v>10</v>
      </c>
    </row>
    <row r="37" spans="6:7" x14ac:dyDescent="0.2">
      <c r="F37">
        <v>9.8692326671601285E-6</v>
      </c>
      <c r="G37">
        <v>0.48344637500364146</v>
      </c>
    </row>
    <row r="38" spans="6:7" x14ac:dyDescent="0.2">
      <c r="F38">
        <v>3.4542314335060452E-5</v>
      </c>
      <c r="G38">
        <v>2.5111860578436911</v>
      </c>
    </row>
    <row r="39" spans="6:7" x14ac:dyDescent="0.2">
      <c r="F39">
        <v>3.6516160868492505E-5</v>
      </c>
      <c r="G39">
        <v>4.2615595543939886</v>
      </c>
    </row>
    <row r="40" spans="6:7" x14ac:dyDescent="0.2">
      <c r="F40">
        <v>6.9084628670120903E-5</v>
      </c>
      <c r="G40">
        <v>5.3314193760918247</v>
      </c>
    </row>
    <row r="41" spans="6:7" x14ac:dyDescent="0.2">
      <c r="F41">
        <v>7.5006168270416989E-5</v>
      </c>
      <c r="G41">
        <v>7.6235725767287601</v>
      </c>
    </row>
    <row r="42" spans="6:7" x14ac:dyDescent="0.2">
      <c r="F42">
        <v>1.144830989390575E-4</v>
      </c>
      <c r="G42">
        <v>8.8302294314366669</v>
      </c>
    </row>
    <row r="43" spans="6:7" x14ac:dyDescent="0.2">
      <c r="F43">
        <v>1.4803849000740192E-4</v>
      </c>
      <c r="G43">
        <v>9.7761287096632952</v>
      </c>
    </row>
    <row r="44" spans="6:7" x14ac:dyDescent="0.2">
      <c r="F44">
        <v>1.8751542067604245E-4</v>
      </c>
      <c r="G44">
        <v>11.183111342928761</v>
      </c>
    </row>
    <row r="45" spans="6:7" x14ac:dyDescent="0.2">
      <c r="F45">
        <v>5.3293856402664695E-4</v>
      </c>
      <c r="G45">
        <v>12.933531440262007</v>
      </c>
    </row>
    <row r="46" spans="6:7" x14ac:dyDescent="0.2">
      <c r="F46">
        <v>1.5692079940784604E-3</v>
      </c>
      <c r="G46">
        <v>14.520229060521153</v>
      </c>
    </row>
    <row r="47" spans="6:7" x14ac:dyDescent="0.2">
      <c r="F47">
        <v>3.5924006908462868E-3</v>
      </c>
      <c r="G47">
        <v>15.236139684719191</v>
      </c>
    </row>
    <row r="48" spans="6:7" x14ac:dyDescent="0.2">
      <c r="F48">
        <v>2.0370096225018505E-2</v>
      </c>
      <c r="G48">
        <v>17.740657904932725</v>
      </c>
    </row>
    <row r="49" spans="6:7" x14ac:dyDescent="0.2">
      <c r="F49">
        <v>3.2904021712311868E-2</v>
      </c>
      <c r="G49">
        <v>18.437730174372909</v>
      </c>
    </row>
    <row r="50" spans="6:7" x14ac:dyDescent="0.2">
      <c r="F50">
        <v>5.708364174685418E-2</v>
      </c>
      <c r="G50">
        <v>19.349145791616927</v>
      </c>
    </row>
    <row r="51" spans="6:7" x14ac:dyDescent="0.2">
      <c r="F51">
        <v>8.4914877868245739E-2</v>
      </c>
      <c r="G51">
        <v>19.925044637111043</v>
      </c>
    </row>
    <row r="52" spans="6:7" x14ac:dyDescent="0.2">
      <c r="F52">
        <v>0.10524549716259561</v>
      </c>
      <c r="G52">
        <v>20.401640976979479</v>
      </c>
    </row>
    <row r="53" spans="6:7" x14ac:dyDescent="0.2">
      <c r="F53">
        <v>0.12587219343696027</v>
      </c>
      <c r="G53">
        <v>20.538918715969888</v>
      </c>
    </row>
    <row r="54" spans="6:7" x14ac:dyDescent="0.2">
      <c r="F54">
        <v>0.17827781889958055</v>
      </c>
      <c r="G54">
        <v>20.991511440255302</v>
      </c>
    </row>
    <row r="55" spans="6:7" x14ac:dyDescent="0.2">
      <c r="F55">
        <v>0.21617567234147544</v>
      </c>
      <c r="G55">
        <v>21.395138215736107</v>
      </c>
    </row>
    <row r="56" spans="6:7" x14ac:dyDescent="0.2">
      <c r="F56">
        <v>0.25861337281026398</v>
      </c>
      <c r="G56">
        <v>21.758391550569552</v>
      </c>
    </row>
    <row r="57" spans="6:7" x14ac:dyDescent="0.2">
      <c r="F57">
        <v>0.27716753022452506</v>
      </c>
      <c r="G57">
        <v>21.910447481489118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1CEE-CC9A-D74E-911B-0AA5C6442262}">
  <dimension ref="B2:F6"/>
  <sheetViews>
    <sheetView tabSelected="1" zoomScale="218" workbookViewId="0">
      <selection activeCell="F6" sqref="B2:F6"/>
    </sheetView>
  </sheetViews>
  <sheetFormatPr baseColWidth="10" defaultRowHeight="16" x14ac:dyDescent="0.2"/>
  <sheetData>
    <row r="2" spans="2:6" x14ac:dyDescent="0.2">
      <c r="B2" t="s">
        <v>22</v>
      </c>
      <c r="C2" t="s">
        <v>23</v>
      </c>
      <c r="D2" t="s">
        <v>24</v>
      </c>
      <c r="E2" t="s">
        <v>25</v>
      </c>
      <c r="F2" t="s">
        <v>30</v>
      </c>
    </row>
    <row r="3" spans="2:6" x14ac:dyDescent="0.2">
      <c r="B3">
        <v>0</v>
      </c>
      <c r="C3" t="s">
        <v>26</v>
      </c>
    </row>
    <row r="4" spans="2:6" x14ac:dyDescent="0.2">
      <c r="B4">
        <v>0.01</v>
      </c>
      <c r="C4" t="s">
        <v>27</v>
      </c>
    </row>
    <row r="5" spans="2:6" x14ac:dyDescent="0.2">
      <c r="B5">
        <v>0.05</v>
      </c>
      <c r="C5" t="s">
        <v>28</v>
      </c>
    </row>
    <row r="6" spans="2:6" x14ac:dyDescent="0.2">
      <c r="B6">
        <v>0.1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5838-64FF-DD43-A69A-B6DD967A2D9E}">
  <dimension ref="B1:N9"/>
  <sheetViews>
    <sheetView zoomScale="108" workbookViewId="0">
      <selection activeCell="E11" sqref="E11"/>
    </sheetView>
  </sheetViews>
  <sheetFormatPr baseColWidth="10" defaultRowHeight="16" x14ac:dyDescent="0.2"/>
  <cols>
    <col min="8" max="14" width="3.1640625" customWidth="1"/>
  </cols>
  <sheetData>
    <row r="1" spans="2:7" x14ac:dyDescent="0.2">
      <c r="C1" t="s">
        <v>14</v>
      </c>
      <c r="D1">
        <v>36</v>
      </c>
      <c r="F1" t="s">
        <v>2</v>
      </c>
      <c r="G1">
        <v>42.57</v>
      </c>
    </row>
    <row r="2" spans="2:7" x14ac:dyDescent="0.2">
      <c r="B2" t="s">
        <v>0</v>
      </c>
      <c r="C2" t="s">
        <v>1</v>
      </c>
      <c r="D2" t="s">
        <v>13</v>
      </c>
      <c r="E2" t="s">
        <v>20</v>
      </c>
      <c r="F2" t="s">
        <v>21</v>
      </c>
    </row>
    <row r="3" spans="2:7" x14ac:dyDescent="0.2">
      <c r="B3">
        <v>12500</v>
      </c>
      <c r="C3">
        <v>4264</v>
      </c>
      <c r="D3">
        <f>B3-$D$1</f>
        <v>12464</v>
      </c>
      <c r="E3">
        <f>C3-$D$1</f>
        <v>4228</v>
      </c>
      <c r="F3">
        <f>(D3/E3-1)*$G$1</f>
        <v>82.924910122989601</v>
      </c>
    </row>
    <row r="4" spans="2:7" x14ac:dyDescent="0.2">
      <c r="B4">
        <v>7127</v>
      </c>
      <c r="C4">
        <v>2446</v>
      </c>
      <c r="D4">
        <f t="shared" ref="D4:E6" si="0">B4-$D$1</f>
        <v>7091</v>
      </c>
      <c r="E4">
        <f t="shared" si="0"/>
        <v>2410</v>
      </c>
      <c r="F4">
        <f t="shared" ref="F4:F6" si="1">(D4/E4-1)*$G$1</f>
        <v>82.684717842323664</v>
      </c>
    </row>
    <row r="5" spans="2:7" x14ac:dyDescent="0.2">
      <c r="B5">
        <v>4068</v>
      </c>
      <c r="C5">
        <v>1405</v>
      </c>
      <c r="D5">
        <f t="shared" si="0"/>
        <v>4032</v>
      </c>
      <c r="E5">
        <f t="shared" si="0"/>
        <v>1369</v>
      </c>
      <c r="F5">
        <f t="shared" si="1"/>
        <v>82.807823228634035</v>
      </c>
    </row>
    <row r="6" spans="2:7" x14ac:dyDescent="0.2">
      <c r="B6">
        <v>2335</v>
      </c>
      <c r="C6">
        <v>820</v>
      </c>
      <c r="D6">
        <f t="shared" si="0"/>
        <v>2299</v>
      </c>
      <c r="E6">
        <f t="shared" si="0"/>
        <v>784</v>
      </c>
      <c r="F6">
        <f t="shared" si="1"/>
        <v>82.262181122448979</v>
      </c>
    </row>
    <row r="8" spans="2:7" x14ac:dyDescent="0.2">
      <c r="F8">
        <f>AVERAGE(F3:F6)</f>
        <v>82.669908079099073</v>
      </c>
    </row>
    <row r="9" spans="2:7" x14ac:dyDescent="0.2">
      <c r="F9">
        <f>STDEV(F3:F6)</f>
        <v>0.28896783622952116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</vt:lpstr>
      <vt:lpstr>Sheet3</vt:lpstr>
      <vt:lpstr>dead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柏井　史哉</dc:creator>
  <cp:lastModifiedBy>柏井　史哉</cp:lastModifiedBy>
  <dcterms:created xsi:type="dcterms:W3CDTF">2025-12-09T12:49:36Z</dcterms:created>
  <dcterms:modified xsi:type="dcterms:W3CDTF">2025-12-12T13:45:40Z</dcterms:modified>
</cp:coreProperties>
</file>